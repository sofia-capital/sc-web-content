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ache/Desktop/"/>
    </mc:Choice>
  </mc:AlternateContent>
  <xr:revisionPtr revIDLastSave="0" documentId="13_ncr:1_{BB62BD15-DBC3-024E-B9B3-6CD30F645F5E}" xr6:coauthVersionLast="47" xr6:coauthVersionMax="47" xr10:uidLastSave="{00000000-0000-0000-0000-000000000000}"/>
  <bookViews>
    <workbookView xWindow="0" yWindow="680" windowWidth="34200" windowHeight="21460" xr2:uid="{6BD2757B-E576-8C40-85F2-28F11624AB83}"/>
  </bookViews>
  <sheets>
    <sheet name="Principales Metricas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40" i="1"/>
  <c r="H23" i="1" l="1"/>
  <c r="H18" i="1"/>
  <c r="H17" i="1"/>
  <c r="H16" i="1"/>
  <c r="H15" i="1"/>
  <c r="H13" i="1"/>
  <c r="H11" i="1"/>
  <c r="H10" i="1"/>
  <c r="H9" i="1"/>
  <c r="H7" i="1"/>
  <c r="H8" i="1"/>
  <c r="H6" i="1"/>
  <c r="E12" i="1"/>
  <c r="E11" i="1"/>
  <c r="E10" i="1"/>
  <c r="E9" i="1"/>
  <c r="E8" i="1"/>
  <c r="E6" i="1"/>
  <c r="E7" i="1" s="1"/>
  <c r="B14" i="1"/>
  <c r="B8" i="1"/>
  <c r="B11" i="1"/>
  <c r="B10" i="1"/>
  <c r="B9" i="1"/>
  <c r="B6" i="1"/>
  <c r="B17" i="1"/>
  <c r="E28" i="1" s="1"/>
  <c r="B1" i="1"/>
  <c r="B38" i="1" l="1"/>
  <c r="H12" i="1"/>
  <c r="E13" i="1"/>
  <c r="B20" i="1"/>
  <c r="B7" i="1"/>
  <c r="H19" i="1"/>
  <c r="B30" i="1" s="1"/>
  <c r="B12" i="1"/>
  <c r="B13" i="1" s="1"/>
  <c r="B15" i="1" s="1"/>
  <c r="B43" i="1" s="1"/>
  <c r="B28" i="1" l="1"/>
  <c r="E29" i="1"/>
  <c r="E34" i="1" s="1"/>
  <c r="H31" i="1" s="1"/>
  <c r="E32" i="1"/>
  <c r="H28" i="1" s="1"/>
  <c r="H14" i="1"/>
  <c r="H20" i="1" s="1"/>
  <c r="B37" i="1"/>
  <c r="B44" i="1" s="1"/>
  <c r="B19" i="1"/>
  <c r="B16" i="1"/>
  <c r="B21" i="1"/>
  <c r="E31" i="1" l="1"/>
  <c r="H30" i="1" s="1"/>
  <c r="B29" i="1"/>
  <c r="B39" i="1"/>
  <c r="B41" i="1" s="1"/>
  <c r="B45" i="1" s="1"/>
  <c r="H22" i="1"/>
  <c r="H21" i="1"/>
  <c r="E33" i="1"/>
  <c r="H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Viacheslav Pustovit</author>
  </authors>
  <commentList>
    <comment ref="A4" authorId="0" shapeId="0" xr:uid="{29F37FE3-ACB0-AF4A-8801-474AF8549484}">
      <text>
        <r>
          <rPr>
            <b/>
            <sz val="10"/>
            <color rgb="FF000000"/>
            <rFont val="Arial"/>
            <family val="2"/>
          </rPr>
          <t>Ingresos totales</t>
        </r>
      </text>
    </comment>
    <comment ref="A5" authorId="0" shapeId="0" xr:uid="{255D78AF-77C8-B443-8987-F85AC7CE2055}">
      <text>
        <r>
          <rPr>
            <b/>
            <sz val="10"/>
            <color rgb="FF000000"/>
            <rFont val="Arial"/>
            <family val="2"/>
          </rPr>
          <t>Beneficio Operativo</t>
        </r>
      </text>
    </comment>
    <comment ref="A6" authorId="1" shapeId="0" xr:uid="{ED265C55-B006-7542-BB20-FDB0F5DDCBF0}">
      <text>
        <r>
          <rPr>
            <b/>
            <sz val="10"/>
            <color rgb="FF000000"/>
            <rFont val="Tahoma"/>
            <family val="2"/>
          </rPr>
          <t>Gastos por intrereses</t>
        </r>
      </text>
    </comment>
    <comment ref="A7" authorId="1" shapeId="0" xr:uid="{C75B7E66-1938-1446-B364-DC24CAB70422}">
      <text>
        <r>
          <rPr>
            <b/>
            <sz val="10"/>
            <color rgb="FF000000"/>
            <rFont val="Aptos Narrow"/>
            <family val="2"/>
            <scheme val="minor"/>
          </rPr>
          <t>Ingresos por intereses y por inversiones</t>
        </r>
        <r>
          <rPr>
            <b/>
            <sz val="10"/>
            <color rgb="FF000000"/>
            <rFont val="Aptos Narrow"/>
            <family val="2"/>
            <scheme val="minor"/>
          </rPr>
          <t xml:space="preserve">
</t>
        </r>
      </text>
    </comment>
    <comment ref="A8" authorId="1" shapeId="0" xr:uid="{FEB970A3-AEDE-C442-B40A-A24AE89BE01D}">
      <text>
        <r>
          <rPr>
            <b/>
            <sz val="10"/>
            <color rgb="FF000000"/>
            <rFont val="Tahoma"/>
            <family val="2"/>
          </rPr>
          <t>Gasto por Impuesto sobre la Renta</t>
        </r>
      </text>
    </comment>
    <comment ref="A9" authorId="1" shapeId="0" xr:uid="{07FD720F-B22D-3E4B-B479-589E16149585}">
      <text>
        <r>
          <rPr>
            <b/>
            <sz val="10"/>
            <color rgb="FF000000"/>
            <rFont val="Tahoma"/>
            <family val="2"/>
          </rPr>
          <t>Promedio Ponderado de Acciones Diluidas en Circulación</t>
        </r>
      </text>
    </comment>
    <comment ref="A10" authorId="1" shapeId="0" xr:uid="{BD5293D1-FB69-124A-AFB0-B40F92342471}">
      <text>
        <r>
          <rPr>
            <b/>
            <sz val="10"/>
            <color rgb="FF000000"/>
            <rFont val="Tahoma"/>
            <family val="2"/>
          </rPr>
          <t>Interes Minoritario</t>
        </r>
      </text>
    </comment>
    <comment ref="A11" authorId="1" shapeId="0" xr:uid="{8A712A08-7A3D-4347-B6DB-E9CDD22ABC24}">
      <text>
        <r>
          <rPr>
            <b/>
            <sz val="10"/>
            <color rgb="FF000000"/>
            <rFont val="Tahoma"/>
            <family val="2"/>
          </rPr>
          <t>Efectivo y Equivalentes de Efectivo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12" authorId="1" shapeId="0" xr:uid="{CC350F10-2BAB-1244-972F-3F3E98BEA432}">
      <text>
        <r>
          <rPr>
            <b/>
            <sz val="10"/>
            <color rgb="FF000000"/>
            <rFont val="Tahoma"/>
            <family val="2"/>
          </rPr>
          <t>Total de Efectivo e Inversiones a Corto Plazo</t>
        </r>
      </text>
    </comment>
    <comment ref="A13" authorId="1" shapeId="0" xr:uid="{866CEE7D-CE92-F544-8EBF-4681885859EA}">
      <text>
        <r>
          <rPr>
            <b/>
            <sz val="10"/>
            <color rgb="FF000000"/>
            <rFont val="Tahoma"/>
            <family val="2"/>
          </rPr>
          <t>Cuentas por cobrar</t>
        </r>
      </text>
    </comment>
    <comment ref="A14" authorId="1" shapeId="0" xr:uid="{4BED73C1-9EBC-444E-9553-40C5F58836B7}">
      <text>
        <r>
          <rPr>
            <b/>
            <sz val="10"/>
            <color rgb="FF000000"/>
            <rFont val="Tahoma"/>
            <family val="2"/>
          </rPr>
          <t>Inventario</t>
        </r>
      </text>
    </comment>
    <comment ref="A15" authorId="1" shapeId="0" xr:uid="{DE30948E-FBFE-BE41-AAFF-11BB3541936B}">
      <text>
        <r>
          <rPr>
            <b/>
            <sz val="10"/>
            <color rgb="FF000000"/>
            <rFont val="Tahoma"/>
            <family val="2"/>
          </rPr>
          <t>Cuentas por cobrar</t>
        </r>
      </text>
    </comment>
    <comment ref="A16" authorId="1" shapeId="0" xr:uid="{AFCDCACF-90CD-6547-8F86-8DE15441B986}">
      <text>
        <r>
          <rPr>
            <b/>
            <sz val="10"/>
            <color rgb="FF000000"/>
            <rFont val="Tahoma"/>
            <family val="2"/>
          </rPr>
          <t>Prestamos a Corto Plazo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17" authorId="1" shapeId="0" xr:uid="{00B7D80B-4613-314F-8619-8B527264A9E2}">
      <text>
        <r>
          <rPr>
            <b/>
            <sz val="10"/>
            <color rgb="FF000000"/>
            <rFont val="Tahoma"/>
            <family val="2"/>
          </rPr>
          <t>Porcion Corriente de Deuda a Largo Plazo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18" authorId="1" shapeId="0" xr:uid="{B6D73BEE-958F-FC46-A8FB-EC793D77C2FD}">
      <text>
        <r>
          <rPr>
            <b/>
            <sz val="10"/>
            <color rgb="FF000000"/>
            <rFont val="Tahoma"/>
            <family val="2"/>
          </rPr>
          <t>Porcion Corriente de Obligaciones por Arrendamiento de Capital</t>
        </r>
      </text>
    </comment>
    <comment ref="A19" authorId="1" shapeId="0" xr:uid="{805BB00E-2F87-AB4A-ADE0-746A5111EDAD}">
      <text>
        <r>
          <rPr>
            <b/>
            <sz val="10"/>
            <color rgb="FF000000"/>
            <rFont val="Tahoma"/>
            <family val="2"/>
          </rPr>
          <t>Ingresos Diferidos Corrientes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20" authorId="1" shapeId="0" xr:uid="{9B5760B4-1BA0-3144-8F33-D3CB15787743}">
      <text>
        <r>
          <rPr>
            <b/>
            <sz val="10"/>
            <color rgb="FF000000"/>
            <rFont val="Tahoma"/>
            <family val="2"/>
          </rPr>
          <t>Deuda a Largo Plazo</t>
        </r>
      </text>
    </comment>
    <comment ref="A21" authorId="1" shapeId="0" xr:uid="{395B8538-E3A6-BC42-AE25-FC95F1BF483E}">
      <text>
        <r>
          <rPr>
            <b/>
            <sz val="10"/>
            <color rgb="FF000000"/>
            <rFont val="Tahoma"/>
            <family val="2"/>
          </rPr>
          <t>Arrendamientos de Capital</t>
        </r>
      </text>
    </comment>
    <comment ref="A22" authorId="1" shapeId="0" xr:uid="{D0CF8CD1-29EC-4541-B666-F8753682B15C}">
      <text>
        <r>
          <rPr>
            <b/>
            <sz val="10"/>
            <color rgb="FF000000"/>
            <rFont val="Tahoma"/>
            <family val="2"/>
          </rPr>
          <t>Patrimonio Total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23" authorId="1" shapeId="0" xr:uid="{59AD525F-4F44-614C-96E0-F4010EB270EF}">
      <text>
        <r>
          <rPr>
            <b/>
            <sz val="10"/>
            <color rgb="FF000000"/>
            <rFont val="Tahoma"/>
            <family val="2"/>
          </rPr>
          <t>Deuda Correinte de la Division Financiera</t>
        </r>
      </text>
    </comment>
    <comment ref="A24" authorId="1" shapeId="0" xr:uid="{F8B27272-539D-904E-BDFF-D6F4E8DB73F3}">
      <text>
        <r>
          <rPr>
            <b/>
            <sz val="10"/>
            <color rgb="FF000000"/>
            <rFont val="Tahoma"/>
            <family val="2"/>
          </rPr>
          <t>Prestamos a Largo Plazo</t>
        </r>
      </text>
    </comment>
    <comment ref="A25" authorId="1" shapeId="0" xr:uid="{730279CD-B644-8341-9222-4B11FEA8E1D5}">
      <text>
        <r>
          <rPr>
            <b/>
            <sz val="10"/>
            <color rgb="FF000000"/>
            <rFont val="Tahoma"/>
            <family val="2"/>
          </rPr>
          <t>Deuda No Correinte de la Division Financiera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26" authorId="1" shapeId="0" xr:uid="{DEB07E8D-2794-6A48-9C86-861743C92967}">
      <text>
        <r>
          <rPr>
            <b/>
            <sz val="10"/>
            <color rgb="FF000000"/>
            <rFont val="Tahoma"/>
            <family val="2"/>
          </rPr>
          <t>Depreciacion y Amortizacion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27" authorId="1" shapeId="0" xr:uid="{C338B562-06C3-5C41-8671-56D44441320F}">
      <text>
        <r>
          <rPr>
            <b/>
            <sz val="10"/>
            <color rgb="FF000000"/>
            <rFont val="Tahoma"/>
            <family val="2"/>
          </rPr>
          <t>Amortizacion de Plusvalia y Activos Intangibles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28" authorId="1" shapeId="0" xr:uid="{4EE6997D-FB89-644F-9E4C-14661C074369}">
      <text>
        <r>
          <rPr>
            <b/>
            <sz val="10"/>
            <color rgb="FF000000"/>
            <rFont val="Tahoma"/>
            <family val="2"/>
          </rPr>
          <t>Gastos de Capital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29" authorId="1" shapeId="0" xr:uid="{5C8A67C5-2128-3F43-84FB-8022498CDE50}">
      <text>
        <r>
          <rPr>
            <b/>
            <sz val="10"/>
            <color rgb="FF000000"/>
            <rFont val="Tahoma"/>
            <family val="2"/>
          </rPr>
          <t>Venta de Propiedades, Plantas y Equipos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30" authorId="1" shapeId="0" xr:uid="{3EC71184-28FD-EB44-9690-63015E699F33}">
      <text>
        <r>
          <rPr>
            <b/>
            <sz val="10"/>
            <color rgb="FF000000"/>
            <rFont val="Tahoma"/>
            <family val="2"/>
          </rPr>
          <t>Adquisiciones en Efectivo</t>
        </r>
      </text>
    </comment>
    <comment ref="A31" authorId="1" shapeId="0" xr:uid="{B2B4045B-6758-CA4F-9F99-54B9939B9244}">
      <text>
        <r>
          <rPr>
            <b/>
            <sz val="10"/>
            <color rgb="FF000000"/>
            <rFont val="Tahoma"/>
            <family val="2"/>
          </rPr>
          <t>Venta (Compra) de Activos Intangibles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32" authorId="1" shapeId="0" xr:uid="{81DAAAD5-7C70-5F44-AF31-1FCD10E12F6C}">
      <text>
        <r>
          <rPr>
            <b/>
            <sz val="10"/>
            <color rgb="FF000000"/>
            <rFont val="Tahoma"/>
            <family val="2"/>
          </rPr>
          <t>Total de Deuda Emitidia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33" authorId="1" shapeId="0" xr:uid="{DA7BE1A5-CD8A-1B43-8D6C-6F40F3E4A952}">
      <text>
        <r>
          <rPr>
            <b/>
            <sz val="10"/>
            <color rgb="FF000000"/>
            <rFont val="Tahoma"/>
            <family val="2"/>
          </rPr>
          <t>Total de Deuda Reembolsada</t>
        </r>
      </text>
    </comment>
    <comment ref="A34" authorId="1" shapeId="0" xr:uid="{512E688C-B422-2547-8021-92959D616E85}">
      <text>
        <r>
          <rPr>
            <b/>
            <sz val="10"/>
            <color rgb="FF000000"/>
            <rFont val="Tahoma"/>
            <family val="2"/>
          </rPr>
          <t>Recompra de Acciones Comunes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35" authorId="1" shapeId="0" xr:uid="{EE3CF853-7EF1-9549-9435-11A79699EB0E}">
      <text>
        <r>
          <rPr>
            <b/>
            <sz val="10"/>
            <color rgb="FF000000"/>
            <rFont val="Tahoma"/>
            <family val="2"/>
          </rPr>
          <t>Dividendos Pagados de Acciones Comunes y Prefenretes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36" authorId="1" shapeId="0" xr:uid="{A2E92A57-90F2-714D-A285-6BC711B0153F}">
      <text>
        <r>
          <rPr>
            <b/>
            <sz val="10"/>
            <color rgb="FF000000"/>
            <rFont val="Tahoma"/>
            <family val="2"/>
          </rPr>
          <t>Cambio Neto en Efectivo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<sst xmlns="http://schemas.openxmlformats.org/spreadsheetml/2006/main" count="107" uniqueCount="100">
  <si>
    <t>Calculos</t>
  </si>
  <si>
    <t>Margen EBITDA</t>
  </si>
  <si>
    <t>Marge EBIT</t>
  </si>
  <si>
    <t>Margen Neto</t>
  </si>
  <si>
    <t>EPS Diluido</t>
  </si>
  <si>
    <t>Metricas apalancamiento</t>
  </si>
  <si>
    <t>Deuda Neta / EBITDA</t>
  </si>
  <si>
    <t>Deuda Neta / FCF (Free Cash Flow)</t>
  </si>
  <si>
    <t>Metricas de rentabilidad</t>
  </si>
  <si>
    <t>ROIC</t>
  </si>
  <si>
    <t xml:space="preserve">Tasa de reinversion </t>
  </si>
  <si>
    <t>ROE</t>
  </si>
  <si>
    <t xml:space="preserve">Principales Ratios de valoracion </t>
  </si>
  <si>
    <t>Enterprise Value</t>
  </si>
  <si>
    <t>EV/EBITDA</t>
  </si>
  <si>
    <t>EV/FCF</t>
  </si>
  <si>
    <t xml:space="preserve">EV/EBIT </t>
  </si>
  <si>
    <t>FECHA</t>
  </si>
  <si>
    <t>Total Revenues</t>
  </si>
  <si>
    <t>Operating Income</t>
  </si>
  <si>
    <t>Interest Expense</t>
  </si>
  <si>
    <t>Interes And Investment Income</t>
  </si>
  <si>
    <t>Income Tax Expense</t>
  </si>
  <si>
    <t>Weight Average Diluted Shares Outstanding</t>
  </si>
  <si>
    <t>Minority Interest</t>
  </si>
  <si>
    <t>Cash and Equivalents</t>
  </si>
  <si>
    <t>Total Cash And Short Term Investments</t>
  </si>
  <si>
    <t>Accounts Receivable</t>
  </si>
  <si>
    <t>Inventory</t>
  </si>
  <si>
    <t>Accounts payable</t>
  </si>
  <si>
    <t>Short-term Borrowings</t>
  </si>
  <si>
    <t>Current Portion of Long-Term Debt</t>
  </si>
  <si>
    <t>Current Portion of Capital Lease Obligations</t>
  </si>
  <si>
    <t>Unearned Revenue Current</t>
  </si>
  <si>
    <t>Long-Term Debt</t>
  </si>
  <si>
    <t>Capital Leases</t>
  </si>
  <si>
    <t>Total Equity</t>
  </si>
  <si>
    <t>Finance Division Debt Current</t>
  </si>
  <si>
    <t>Long-term Borrowings</t>
  </si>
  <si>
    <t>Finance Division Debt Non Current</t>
  </si>
  <si>
    <t>Depreciation &amp; Amortization</t>
  </si>
  <si>
    <t>Amortization of Goodwill and Intangible Assets</t>
  </si>
  <si>
    <t>Capital Expenditure</t>
  </si>
  <si>
    <t>Sale of Property, Plan and Equipment</t>
  </si>
  <si>
    <t>Cash Acquisitions</t>
  </si>
  <si>
    <t>Sale (Purchase) of Intangible assets</t>
  </si>
  <si>
    <t>Total Debt Issued</t>
  </si>
  <si>
    <t>Total Debt Repaid</t>
  </si>
  <si>
    <t>Repurchase of Common Stock</t>
  </si>
  <si>
    <t>Common &amp; Preferred Stock Dividend Paid</t>
  </si>
  <si>
    <t>Net Change in Cash</t>
  </si>
  <si>
    <t>Ingresos</t>
  </si>
  <si>
    <t>EBITDA</t>
  </si>
  <si>
    <t xml:space="preserve">EBIT </t>
  </si>
  <si>
    <t>Intereses (Entrada)</t>
  </si>
  <si>
    <t>Intereses (Salida)</t>
  </si>
  <si>
    <t>Total Intereses</t>
  </si>
  <si>
    <t>EBT</t>
  </si>
  <si>
    <t>Impuestos</t>
  </si>
  <si>
    <t>Beneficio Neto</t>
  </si>
  <si>
    <t>Total Acciones Diluidas</t>
  </si>
  <si>
    <t>Depreciacion y Amortizacion</t>
  </si>
  <si>
    <t>Efectivo y equivalentes al efectivo</t>
  </si>
  <si>
    <t>Valores negociables</t>
  </si>
  <si>
    <t>Deuda a corto plazo</t>
  </si>
  <si>
    <t>Deuda a largo plazo</t>
  </si>
  <si>
    <t>Pasivos por arrendamientos operativos corrientes</t>
  </si>
  <si>
    <t>Pasivos por arrendamientos operativos no corrientes</t>
  </si>
  <si>
    <t>Patrimonio neto / Capital propio</t>
  </si>
  <si>
    <t>Partida: Perdidas y Ganancias</t>
  </si>
  <si>
    <t>Partida: Balance General</t>
  </si>
  <si>
    <t>Partida: Flujo de Caja</t>
  </si>
  <si>
    <t>Dividendos</t>
  </si>
  <si>
    <t>Recompras</t>
  </si>
  <si>
    <t>Amortizacion neta de deuda</t>
  </si>
  <si>
    <t>Sale of Property, Plant, and Equipment</t>
  </si>
  <si>
    <t>CapEx Neto</t>
  </si>
  <si>
    <t>CapEx Mantenimiento</t>
  </si>
  <si>
    <t>Inventorio</t>
  </si>
  <si>
    <t>Accounts Payable</t>
  </si>
  <si>
    <t>Unearned Revenue</t>
  </si>
  <si>
    <t>Working Capital - WC</t>
  </si>
  <si>
    <t>Free Cash Flow</t>
  </si>
  <si>
    <t>Cambio Neto en Efectivo</t>
  </si>
  <si>
    <t>Margen FCF</t>
  </si>
  <si>
    <t>FCF por accion</t>
  </si>
  <si>
    <t>Deuda Neta</t>
  </si>
  <si>
    <t>WC / Ventas</t>
  </si>
  <si>
    <t>EBIT x (1-t)</t>
  </si>
  <si>
    <t>Capital Invertido</t>
  </si>
  <si>
    <t>Inversion en crecimiento</t>
  </si>
  <si>
    <t>CapEx Expansion</t>
  </si>
  <si>
    <t>Adquisiciones</t>
  </si>
  <si>
    <t>Capitalizacion de Mercado</t>
  </si>
  <si>
    <t>PER</t>
  </si>
  <si>
    <t>Precio Objetivo</t>
  </si>
  <si>
    <t>Per ex Cash</t>
  </si>
  <si>
    <t>Precio Actual</t>
  </si>
  <si>
    <t>PRECIO DE ACCION ANUAL</t>
  </si>
  <si>
    <t xml:space="preserve">PRECIO DE ACCION ACTUAL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</si>
</sst>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_€;\-#,##0\ _€"/>
    <numFmt numFmtId="166" formatCode="#,##0.00\ _€;\-#,##0.00\ _€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EFEFEF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Tahoma"/>
      <family val="2"/>
    </font>
    <font>
      <b/>
      <sz val="10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rgb="FFA4C2F4"/>
      </patternFill>
    </fill>
    <fill>
      <patternFill patternType="solid">
        <fgColor theme="8" tint="0.59999389629810485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theme="4"/>
        <bgColor rgb="FF3C78D8"/>
      </patternFill>
    </fill>
    <fill>
      <patternFill patternType="solid">
        <fgColor theme="8" tint="0.39997558519241921"/>
        <bgColor rgb="FFE69138"/>
      </patternFill>
    </fill>
    <fill>
      <patternFill patternType="solid">
        <fgColor rgb="FFA64D79"/>
        <bgColor rgb="FFA64D7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6D7A8"/>
      </patternFill>
    </fill>
    <fill>
      <patternFill patternType="solid">
        <fgColor theme="9"/>
        <bgColor rgb="FF6AA84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5" fontId="3" fillId="0" borderId="4" xfId="0" applyNumberFormat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165" fontId="0" fillId="0" borderId="4" xfId="0" applyNumberForma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166" fontId="0" fillId="0" borderId="4" xfId="0" applyNumberFormat="1" applyBorder="1" applyAlignment="1">
      <alignment vertical="center" wrapText="1"/>
    </xf>
    <xf numFmtId="9" fontId="0" fillId="0" borderId="4" xfId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9" fontId="0" fillId="0" borderId="6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5" fontId="3" fillId="0" borderId="2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65" fontId="3" fillId="0" borderId="6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2" xfId="1" applyFont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3" xfId="0" applyFill="1" applyBorder="1"/>
    <xf numFmtId="0" fontId="0" fillId="8" borderId="4" xfId="0" applyFill="1" applyBorder="1"/>
    <xf numFmtId="0" fontId="3" fillId="0" borderId="3" xfId="0" applyFont="1" applyBorder="1"/>
    <xf numFmtId="3" fontId="3" fillId="0" borderId="4" xfId="0" applyNumberFormat="1" applyFont="1" applyBorder="1"/>
    <xf numFmtId="0" fontId="8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3" xfId="0" applyFont="1" applyBorder="1" applyAlignment="1">
      <alignment horizontal="left" vertical="center" wrapText="1"/>
    </xf>
    <xf numFmtId="3" fontId="3" fillId="0" borderId="4" xfId="0" applyNumberFormat="1" applyFont="1" applyBorder="1" applyAlignment="1">
      <alignment horizontal="right" vertical="center"/>
    </xf>
    <xf numFmtId="3" fontId="0" fillId="0" borderId="6" xfId="0" applyNumberFormat="1" applyBorder="1"/>
    <xf numFmtId="0" fontId="14" fillId="0" borderId="5" xfId="0" applyFont="1" applyBorder="1" applyAlignment="1">
      <alignment wrapText="1"/>
    </xf>
    <xf numFmtId="0" fontId="5" fillId="0" borderId="3" xfId="0" applyFont="1" applyBorder="1"/>
    <xf numFmtId="3" fontId="5" fillId="0" borderId="4" xfId="0" applyNumberFormat="1" applyFont="1" applyBorder="1"/>
    <xf numFmtId="0" fontId="5" fillId="0" borderId="3" xfId="0" applyFont="1" applyBorder="1" applyAlignment="1">
      <alignment wrapText="1"/>
    </xf>
    <xf numFmtId="3" fontId="5" fillId="0" borderId="4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3" fontId="0" fillId="0" borderId="4" xfId="0" applyNumberFormat="1" applyBorder="1" applyAlignment="1">
      <alignment horizontal="right" vertical="center"/>
    </xf>
    <xf numFmtId="3" fontId="0" fillId="0" borderId="4" xfId="0" applyNumberFormat="1" applyBorder="1"/>
    <xf numFmtId="0" fontId="14" fillId="0" borderId="3" xfId="0" applyFont="1" applyBorder="1" applyAlignment="1">
      <alignment wrapText="1"/>
    </xf>
    <xf numFmtId="0" fontId="14" fillId="10" borderId="3" xfId="0" applyFont="1" applyFill="1" applyBorder="1" applyAlignment="1">
      <alignment horizontal="right" wrapText="1"/>
    </xf>
    <xf numFmtId="9" fontId="0" fillId="9" borderId="4" xfId="1" applyFont="1" applyFill="1" applyBorder="1"/>
    <xf numFmtId="0" fontId="5" fillId="0" borderId="6" xfId="0" applyFont="1" applyBorder="1"/>
    <xf numFmtId="0" fontId="1" fillId="0" borderId="3" xfId="0" applyFont="1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8" borderId="7" xfId="0" applyFill="1" applyBorder="1"/>
    <xf numFmtId="0" fontId="0" fillId="8" borderId="8" xfId="0" applyFill="1" applyBorder="1"/>
    <xf numFmtId="0" fontId="8" fillId="11" borderId="1" xfId="0" applyFont="1" applyFill="1" applyBorder="1" applyAlignment="1">
      <alignment wrapText="1"/>
    </xf>
    <xf numFmtId="3" fontId="0" fillId="12" borderId="2" xfId="0" applyNumberFormat="1" applyFill="1" applyBorder="1"/>
    <xf numFmtId="0" fontId="14" fillId="10" borderId="5" xfId="0" applyFont="1" applyFill="1" applyBorder="1" applyAlignment="1">
      <alignment horizontal="right" wrapText="1"/>
    </xf>
    <xf numFmtId="4" fontId="0" fillId="9" borderId="6" xfId="0" applyNumberFormat="1" applyFill="1" applyBorder="1"/>
    <xf numFmtId="0" fontId="0" fillId="8" borderId="7" xfId="0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3" fontId="3" fillId="0" borderId="4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0" fillId="0" borderId="3" xfId="0" applyBorder="1"/>
    <xf numFmtId="1" fontId="0" fillId="0" borderId="4" xfId="0" applyNumberFormat="1" applyBorder="1" applyAlignment="1">
      <alignment vertical="center" wrapText="1"/>
    </xf>
    <xf numFmtId="1" fontId="0" fillId="0" borderId="6" xfId="0" applyNumberFormat="1" applyBorder="1" applyAlignment="1">
      <alignment vertical="center" wrapText="1"/>
    </xf>
    <xf numFmtId="1" fontId="0" fillId="0" borderId="4" xfId="0" applyNumberFormat="1" applyBorder="1"/>
    <xf numFmtId="0" fontId="0" fillId="0" borderId="5" xfId="0" applyBorder="1"/>
    <xf numFmtId="0" fontId="0" fillId="0" borderId="6" xfId="0" applyBorder="1"/>
    <xf numFmtId="164" fontId="0" fillId="0" borderId="4" xfId="0" applyNumberFormat="1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596900</xdr:colOff>
      <xdr:row>17</xdr:row>
      <xdr:rowOff>304800</xdr:rowOff>
    </xdr:from>
    <xdr:ext cx="5422900" cy="133350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2B781AF-0973-B87B-F012-EE3FFAAF364A}"/>
            </a:ext>
          </a:extLst>
        </xdr:cNvPr>
        <xdr:cNvSpPr txBox="1"/>
      </xdr:nvSpPr>
      <xdr:spPr>
        <a:xfrm>
          <a:off x="12433300" y="5854700"/>
          <a:ext cx="5422900" cy="1333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_tradnl" sz="1100"/>
            <a:t>En esta formula faltaria una</a:t>
          </a:r>
          <a:r>
            <a:rPr lang="es-ES_tradnl" sz="1100" baseline="0"/>
            <a:t> resta: la variacion del working capital, pero como </a:t>
          </a:r>
        </a:p>
        <a:p>
          <a:r>
            <a:rPr lang="es-ES_tradnl" sz="1100" baseline="0"/>
            <a:t>en el ejemplo no tenemos las anualidades, el calculo seria inexacto.</a:t>
          </a:r>
        </a:p>
        <a:p>
          <a:endParaRPr lang="es-ES_tradnl" sz="1100" baseline="0"/>
        </a:p>
        <a:p>
          <a:r>
            <a:rPr lang="es-ES_tradnl" sz="1100" baseline="0"/>
            <a:t>Si os dais cuenta son los mismos valores que el Beneficio Neto </a:t>
          </a:r>
        </a:p>
        <a:p>
          <a:endParaRPr lang="es-ES_tradnl" sz="1100" baseline="0"/>
        </a:p>
        <a:p>
          <a:r>
            <a:rPr lang="es-ES_tradnl" sz="1100" baseline="0"/>
            <a:t>Formula completa:  FCF = EBITDA - CAPEX - Intereses - Impuestos - Variacion Working Capital</a:t>
          </a:r>
          <a:endParaRPr lang="es-ES_tradnl" sz="1100"/>
        </a:p>
      </xdr:txBody>
    </xdr:sp>
    <xdr:clientData/>
  </xdr:oneCellAnchor>
  <xdr:twoCellAnchor>
    <xdr:from>
      <xdr:col>8</xdr:col>
      <xdr:colOff>190500</xdr:colOff>
      <xdr:row>20</xdr:row>
      <xdr:rowOff>19050</xdr:rowOff>
    </xdr:from>
    <xdr:to>
      <xdr:col>9</xdr:col>
      <xdr:colOff>596900</xdr:colOff>
      <xdr:row>20</xdr:row>
      <xdr:rowOff>25400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A47C9ED1-A36E-D96E-1C8A-7FD2B801DD3F}"/>
            </a:ext>
          </a:extLst>
        </xdr:cNvPr>
        <xdr:cNvCxnSpPr>
          <a:stCxn id="4" idx="1"/>
        </xdr:cNvCxnSpPr>
      </xdr:nvCxnSpPr>
      <xdr:spPr>
        <a:xfrm flipH="1">
          <a:off x="11201400" y="6521450"/>
          <a:ext cx="12319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28</xdr:row>
      <xdr:rowOff>120650</xdr:rowOff>
    </xdr:from>
    <xdr:to>
      <xdr:col>9</xdr:col>
      <xdr:colOff>596900</xdr:colOff>
      <xdr:row>28</xdr:row>
      <xdr:rowOff>127000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91CF0D69-CD64-5E4F-896B-5A51FA7BB46E}"/>
            </a:ext>
          </a:extLst>
        </xdr:cNvPr>
        <xdr:cNvCxnSpPr/>
      </xdr:nvCxnSpPr>
      <xdr:spPr>
        <a:xfrm flipH="1">
          <a:off x="11201400" y="8451850"/>
          <a:ext cx="12319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9</xdr:col>
      <xdr:colOff>596900</xdr:colOff>
      <xdr:row>25</xdr:row>
      <xdr:rowOff>38100</xdr:rowOff>
    </xdr:from>
    <xdr:ext cx="5422900" cy="102870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A0201B2-F546-F941-A2EB-D802739539B5}"/>
            </a:ext>
          </a:extLst>
        </xdr:cNvPr>
        <xdr:cNvSpPr txBox="1"/>
      </xdr:nvSpPr>
      <xdr:spPr>
        <a:xfrm>
          <a:off x="12433300" y="7734300"/>
          <a:ext cx="5422900" cy="1028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_tradnl" sz="1100"/>
            <a:t>La gracia de estos calculos reside en realizar estimaciones de los proximos años,</a:t>
          </a:r>
          <a:r>
            <a:rPr lang="es-ES_tradnl" sz="1100" baseline="0"/>
            <a:t> </a:t>
          </a:r>
        </a:p>
        <a:p>
          <a:r>
            <a:rPr lang="es-ES_tradnl" sz="1100" baseline="0"/>
            <a:t>actualmente el calculo se centra en los datos de 2024, pero realmente se convierten en</a:t>
          </a:r>
        </a:p>
        <a:p>
          <a:r>
            <a:rPr lang="es-ES_tradnl" sz="1100" baseline="0"/>
            <a:t>formulas utiles en las estimaciones de años 2025, 2026, 2027...</a:t>
          </a:r>
        </a:p>
        <a:p>
          <a:endParaRPr lang="es-ES_tradnl" sz="1100" baseline="0"/>
        </a:p>
        <a:p>
          <a:r>
            <a:rPr lang="es-ES_tradnl" sz="1100" baseline="0"/>
            <a:t>Ten en cuenta que mientras mas te alejes, menos preciso seras. </a:t>
          </a:r>
          <a:endParaRPr lang="es-ES_tradnl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188C-6315-9948-86B3-4237A873D2FE}">
  <dimension ref="A1:H45"/>
  <sheetViews>
    <sheetView tabSelected="1" workbookViewId="0">
      <selection activeCell="K15" sqref="K15"/>
    </sheetView>
  </sheetViews>
  <sheetFormatPr baseColWidth="10" defaultRowHeight="16" x14ac:dyDescent="0.2"/>
  <cols>
    <col min="1" max="1" width="31.33203125" style="3" customWidth="1"/>
    <col min="2" max="2" width="19" style="3" customWidth="1"/>
    <col min="4" max="4" width="29.1640625" bestFit="1" customWidth="1"/>
    <col min="5" max="5" width="11.6640625" bestFit="1" customWidth="1"/>
    <col min="7" max="7" width="15.1640625" customWidth="1"/>
    <col min="8" max="8" width="16.5" customWidth="1"/>
  </cols>
  <sheetData>
    <row r="1" spans="1:8" ht="20" x14ac:dyDescent="0.2">
      <c r="A1" s="15" t="s">
        <v>0</v>
      </c>
      <c r="B1" s="15">
        <f>Datos!B1</f>
        <v>0</v>
      </c>
    </row>
    <row r="2" spans="1:8" ht="20" x14ac:dyDescent="0.2">
      <c r="A2" s="15" t="s">
        <v>97</v>
      </c>
      <c r="B2" s="3">
        <f>Datos!B3</f>
        <v>0</v>
      </c>
    </row>
    <row r="4" spans="1:8" ht="17" customHeight="1" x14ac:dyDescent="0.25">
      <c r="A4" s="82" t="s">
        <v>69</v>
      </c>
      <c r="B4" s="83"/>
      <c r="D4" s="84" t="s">
        <v>70</v>
      </c>
      <c r="E4" s="85"/>
      <c r="G4" s="84" t="s">
        <v>71</v>
      </c>
      <c r="H4" s="85"/>
    </row>
    <row r="5" spans="1:8" x14ac:dyDescent="0.2">
      <c r="A5" s="32"/>
      <c r="B5" s="33"/>
      <c r="D5" s="61"/>
      <c r="E5" s="62"/>
      <c r="G5" s="61"/>
      <c r="H5" s="62"/>
    </row>
    <row r="6" spans="1:8" ht="17" x14ac:dyDescent="0.2">
      <c r="A6" s="26" t="s">
        <v>51</v>
      </c>
      <c r="B6" s="27">
        <f>IFERROR(VLOOKUP("Total Revenues*",Datos!$A:$K,COLUMN(B1),FALSE),"0")</f>
        <v>0</v>
      </c>
      <c r="D6" s="36" t="s">
        <v>62</v>
      </c>
      <c r="E6" s="37">
        <f>IFERROR(VLOOKUP("Cash And Equivalents*",Datos!$A:$B,COLUMN(B1),FALSE),"0")</f>
        <v>0</v>
      </c>
      <c r="G6" s="44" t="s">
        <v>72</v>
      </c>
      <c r="H6" s="45">
        <f>IFERROR(ABS(VLOOKUP("Common &amp; Preferred Stock Dividend Paid",Datos!$A:$B,COLUMN(B1),FALSE)),"0")</f>
        <v>0</v>
      </c>
    </row>
    <row r="7" spans="1:8" ht="17" x14ac:dyDescent="0.2">
      <c r="A7" s="19" t="s">
        <v>52</v>
      </c>
      <c r="B7" s="20">
        <f>B9-B8</f>
        <v>0</v>
      </c>
      <c r="D7" s="38" t="s">
        <v>63</v>
      </c>
      <c r="E7" s="37">
        <f>IFERROR(VLOOKUP("Total Cash And Short Term Investments*",Datos!$A:$B,COLUMN(B1),FALSE)-E6,"0")</f>
        <v>0</v>
      </c>
      <c r="G7" s="44" t="s">
        <v>73</v>
      </c>
      <c r="H7" s="45">
        <f>IFERROR(ABS(VLOOKUP("Repurchase of Common Stock*",Datos!$A:$B,COLUMN(B1),FALSE)),"0")</f>
        <v>0</v>
      </c>
    </row>
    <row r="8" spans="1:8" ht="34" x14ac:dyDescent="0.2">
      <c r="A8" s="21" t="s">
        <v>61</v>
      </c>
      <c r="B8" s="18">
        <f>IFERROR(-VLOOKUP("Depreciation*",Datos!$A:$B,COLUMN(B1),FALSE)-IFERROR(VLOOKUP("Amortization of Goodwill and Intangible Assets*",Datos!$A:$B,COLUMN(B1),FALSE),"0"),"0")</f>
        <v>0</v>
      </c>
      <c r="D8" s="40" t="s">
        <v>64</v>
      </c>
      <c r="E8" s="41">
        <f>IFERROR(VLOOKUP("Short-term Borrowings*",Datos!$A:$B,COLUMN(B1),FALSE),"0")+IFERROR(VLOOKUP("Current Portion of Long-Term Debt*",Datos!$A:$K,COLUMN(B1),FALSE),"0")+IFERROR(VLOOKUP("Finance Division Debt Current*",Datos!$A:$K,COLUMN(B1),FALSE),"0")</f>
        <v>0</v>
      </c>
      <c r="G8" s="46" t="s">
        <v>74</v>
      </c>
      <c r="H8" s="47">
        <f>IFERROR(ABS(VLOOKUP("Total Debt Repaid*",Datos!$A:$B,COLUMN(B1),FALSE))-VLOOKUP("Total Debt Issued*",Datos!$A:$B,COLUMN(B1),FALSE),0)</f>
        <v>0</v>
      </c>
    </row>
    <row r="9" spans="1:8" ht="34" x14ac:dyDescent="0.2">
      <c r="A9" s="17" t="s">
        <v>53</v>
      </c>
      <c r="B9" s="18">
        <f>IFERROR(VLOOKUP("Operating Income*",Datos!$A:$K,COLUMN(B1),FALSE),"0")</f>
        <v>0</v>
      </c>
      <c r="D9" s="38" t="s">
        <v>65</v>
      </c>
      <c r="E9" s="37">
        <f>IFERROR(VLOOKUP("Long-term Borrowings*",Datos!$A:$B,COLUMN(B1),FALSE),"0")+IFERROR(VLOOKUP("Long-Term Debt*",Datos!$A:$B,COLUMN(B1),FALSE),"0")+IFERROR(VLOOKUP("Finance Division Debt Non Current*",Datos!$A:$B,COLUMN(B1),FALSE),"0")</f>
        <v>0</v>
      </c>
      <c r="G9" s="46" t="s">
        <v>42</v>
      </c>
      <c r="H9" s="47">
        <f>IFERROR(VLOOKUP("Capital Expenditure*",Datos!$A:$B,COLUMN(B1),FALSE),"0")</f>
        <v>0</v>
      </c>
    </row>
    <row r="10" spans="1:8" ht="43" x14ac:dyDescent="0.2">
      <c r="A10" s="17" t="s">
        <v>55</v>
      </c>
      <c r="B10" s="18">
        <f>IFERROR(VLOOKUP("Interest Expense*",Datos!$A:$K,COLUMN(B1),FALSE),"0")</f>
        <v>0</v>
      </c>
      <c r="D10" s="38" t="s">
        <v>66</v>
      </c>
      <c r="E10" s="37">
        <f>IFERROR(VLOOKUP("Current Portion of Capital Lease Obligations*",Datos!$A:$B,COLUMN(B1),FALSE),"0")</f>
        <v>0</v>
      </c>
      <c r="G10" s="38" t="s">
        <v>45</v>
      </c>
      <c r="H10" s="47">
        <f>IFERROR(VLOOKUP("Sale (Purchase) of Intangible assets",Datos!$A:$B,COLUMN(B1),FALSE),"0")</f>
        <v>0</v>
      </c>
    </row>
    <row r="11" spans="1:8" ht="43" x14ac:dyDescent="0.2">
      <c r="A11" s="17" t="s">
        <v>54</v>
      </c>
      <c r="B11" s="18">
        <f>IFERROR(VLOOKUP("Interes And Investment Income",Datos!$A:$K,COLUMN(B1),FALSE),"0")</f>
        <v>0</v>
      </c>
      <c r="D11" s="38" t="s">
        <v>67</v>
      </c>
      <c r="E11" s="37">
        <f>IFERROR(VLOOKUP("Capital Leases*",Datos!$A:$B,COLUMN(B1),FALSE),"0")</f>
        <v>0</v>
      </c>
      <c r="G11" s="38" t="s">
        <v>75</v>
      </c>
      <c r="H11" s="47">
        <f>IFERROR(VLOOKUP("Sale of Property, Plan and Equipment",Datos!$A:$B,COLUMN(B1),FALSE),"0")</f>
        <v>0</v>
      </c>
    </row>
    <row r="12" spans="1:8" ht="17" x14ac:dyDescent="0.2">
      <c r="A12" s="19" t="s">
        <v>56</v>
      </c>
      <c r="B12" s="20">
        <f>B10+B11</f>
        <v>0</v>
      </c>
      <c r="D12" s="38" t="s">
        <v>68</v>
      </c>
      <c r="E12" s="37">
        <f>IFERROR(VLOOKUP("Total Equity*",Datos!$A:$B,COLUMN(B1),FALSE),"0")</f>
        <v>0</v>
      </c>
      <c r="G12" s="48" t="s">
        <v>76</v>
      </c>
      <c r="H12" s="49">
        <f>SUM(H9:H11)</f>
        <v>0</v>
      </c>
    </row>
    <row r="13" spans="1:8" ht="34" x14ac:dyDescent="0.2">
      <c r="A13" s="19" t="s">
        <v>57</v>
      </c>
      <c r="B13" s="20">
        <f>B9+B12</f>
        <v>0</v>
      </c>
      <c r="D13" s="43" t="s">
        <v>86</v>
      </c>
      <c r="E13" s="42">
        <f>(E8+E9)-(E6+E7)</f>
        <v>0</v>
      </c>
      <c r="G13" s="50" t="s">
        <v>61</v>
      </c>
      <c r="H13" s="41">
        <f>IFERROR(VLOOKUP("Depreciation &amp; Amortization*",Datos!$A:$B,COLUMN(B1),FALSE),"0")</f>
        <v>0</v>
      </c>
    </row>
    <row r="14" spans="1:8" ht="34" x14ac:dyDescent="0.2">
      <c r="A14" s="17" t="s">
        <v>58</v>
      </c>
      <c r="B14" s="18">
        <f>IFERROR(VLOOKUP("Income Tax Expense*",Datos!$A:$B,COLUMN(B1),FALSE),"0")</f>
        <v>0</v>
      </c>
      <c r="G14" s="51" t="s">
        <v>77</v>
      </c>
      <c r="H14" s="52">
        <f>IF(ABS(H12)&lt;H13,H12,-H13)+H11</f>
        <v>0</v>
      </c>
    </row>
    <row r="15" spans="1:8" ht="17" x14ac:dyDescent="0.2">
      <c r="A15" s="16" t="s">
        <v>59</v>
      </c>
      <c r="B15" s="20">
        <f>B13+B14</f>
        <v>0</v>
      </c>
      <c r="G15" s="51" t="s">
        <v>78</v>
      </c>
      <c r="H15" s="53">
        <f>IFERROR(VLOOKUP("Inventory*",Datos!$A:$B,COLUMN(B1),FALSE),"0")</f>
        <v>0</v>
      </c>
    </row>
    <row r="16" spans="1:8" ht="29" x14ac:dyDescent="0.2">
      <c r="A16" s="16" t="s">
        <v>4</v>
      </c>
      <c r="B16" s="22" t="e">
        <f>B15/B17</f>
        <v>#DIV/0!</v>
      </c>
      <c r="G16" s="38" t="s">
        <v>27</v>
      </c>
      <c r="H16" s="45">
        <f>IFERROR(VLOOKUP("Accounts Receivable*",Datos!$A:$B,COLUMN(B1),FALSE),"0")</f>
        <v>0</v>
      </c>
    </row>
    <row r="17" spans="1:8" ht="29" x14ac:dyDescent="0.2">
      <c r="A17" s="28" t="s">
        <v>60</v>
      </c>
      <c r="B17" s="29">
        <f>IFERROR(VLOOKUP("*Diluted Shares Outstanding*",Datos!$A:$B,COLUMN(B1),FALSE),"0")</f>
        <v>0</v>
      </c>
      <c r="G17" s="38" t="s">
        <v>79</v>
      </c>
      <c r="H17" s="45">
        <f>IFERROR(VLOOKUP("Accounts Payable*",Datos!$A:$B,COLUMN(B1),FALSE),"0")</f>
        <v>0</v>
      </c>
    </row>
    <row r="18" spans="1:8" ht="29" x14ac:dyDescent="0.2">
      <c r="A18" s="32"/>
      <c r="B18" s="33"/>
      <c r="G18" s="38" t="s">
        <v>80</v>
      </c>
      <c r="H18" s="45">
        <f>IFERROR(VLOOKUP("Unearned Revenue Current*",Datos!$A:$B,COLUMN(B1),FALSE),"0")+IFERROR(VLOOKUP("Unearned Revenue Non Current*",Datos!$A:$B,COLUMN(B1),FALSE),"0")</f>
        <v>0</v>
      </c>
    </row>
    <row r="19" spans="1:8" ht="29" x14ac:dyDescent="0.2">
      <c r="A19" s="30" t="s">
        <v>1</v>
      </c>
      <c r="B19" s="31" t="e">
        <f>B7/B6</f>
        <v>#DIV/0!</v>
      </c>
      <c r="G19" s="54" t="s">
        <v>81</v>
      </c>
      <c r="H19" s="53">
        <f>H15+H16-H17-H18</f>
        <v>0</v>
      </c>
    </row>
    <row r="20" spans="1:8" ht="17" x14ac:dyDescent="0.2">
      <c r="A20" s="16" t="s">
        <v>2</v>
      </c>
      <c r="B20" s="23" t="e">
        <f>B9/B6</f>
        <v>#DIV/0!</v>
      </c>
      <c r="G20" s="63" t="s">
        <v>82</v>
      </c>
      <c r="H20" s="64">
        <f>SUM(B7,H14,B12,B14)</f>
        <v>0</v>
      </c>
    </row>
    <row r="21" spans="1:8" ht="17" x14ac:dyDescent="0.2">
      <c r="A21" s="24" t="s">
        <v>3</v>
      </c>
      <c r="B21" s="25" t="e">
        <f>B15/B6</f>
        <v>#DIV/0!</v>
      </c>
      <c r="G21" s="55" t="s">
        <v>84</v>
      </c>
      <c r="H21" s="56" t="e">
        <f>H20/B6</f>
        <v>#DIV/0!</v>
      </c>
    </row>
    <row r="22" spans="1:8" x14ac:dyDescent="0.2">
      <c r="G22" s="65" t="s">
        <v>85</v>
      </c>
      <c r="H22" s="66" t="e">
        <f>H20/B17</f>
        <v>#DIV/0!</v>
      </c>
    </row>
    <row r="23" spans="1:8" ht="29" x14ac:dyDescent="0.2">
      <c r="G23" s="39" t="s">
        <v>83</v>
      </c>
      <c r="H23" s="57">
        <f>IFERROR(VLOOKUP("Net Change in Cash*",Datos!$A:$B,COLUMN(B1),FALSE),"0")</f>
        <v>0</v>
      </c>
    </row>
    <row r="26" spans="1:8" ht="17" customHeight="1" x14ac:dyDescent="0.25">
      <c r="A26" s="86" t="s">
        <v>5</v>
      </c>
      <c r="B26" s="87"/>
      <c r="D26" s="86" t="s">
        <v>12</v>
      </c>
      <c r="E26" s="87"/>
      <c r="G26" s="84" t="s">
        <v>95</v>
      </c>
      <c r="H26" s="85"/>
    </row>
    <row r="27" spans="1:8" x14ac:dyDescent="0.2">
      <c r="A27" s="67"/>
      <c r="B27" s="68"/>
      <c r="D27" s="61"/>
      <c r="E27" s="62"/>
      <c r="G27" s="34"/>
      <c r="H27" s="35"/>
    </row>
    <row r="28" spans="1:8" ht="17" x14ac:dyDescent="0.2">
      <c r="A28" s="58" t="s">
        <v>6</v>
      </c>
      <c r="B28" s="59" t="e">
        <f>E13/B7</f>
        <v>#DIV/0!</v>
      </c>
      <c r="D28" s="36" t="s">
        <v>93</v>
      </c>
      <c r="E28" s="37">
        <f>IFERROR((VLOOKUP("PRECIO DE ACCION ANUAL",Datos!$A:$B,COLUMN(B1),FALSE)*B17),"")</f>
        <v>0</v>
      </c>
      <c r="G28" s="72" t="s">
        <v>96</v>
      </c>
      <c r="H28" s="75" t="str">
        <f>IF(B2&lt;&gt;"",IFERROR(IF(--E13&lt;0,(B15*E32-E13),IF(--E13&gt;0,B15*E32))/B17,""),"")</f>
        <v/>
      </c>
    </row>
    <row r="29" spans="1:8" ht="17" x14ac:dyDescent="0.2">
      <c r="A29" s="58" t="s">
        <v>7</v>
      </c>
      <c r="B29" s="59" t="e">
        <f>E13/H20</f>
        <v>#DIV/0!</v>
      </c>
      <c r="D29" s="16" t="s">
        <v>13</v>
      </c>
      <c r="E29" s="53">
        <f>SUM(E28,E13)</f>
        <v>0</v>
      </c>
      <c r="G29" s="72" t="s">
        <v>15</v>
      </c>
      <c r="H29" s="78" t="str">
        <f>IF(B2&lt;&gt;"",IFERROR(((H20*E33)-E13)/B17,""),"")</f>
        <v/>
      </c>
    </row>
    <row r="30" spans="1:8" ht="17" x14ac:dyDescent="0.2">
      <c r="A30" s="60" t="s">
        <v>87</v>
      </c>
      <c r="B30" s="25" t="e">
        <f>H19/B6</f>
        <v>#DIV/0!</v>
      </c>
      <c r="D30" s="61"/>
      <c r="E30" s="68"/>
      <c r="G30" s="72" t="s">
        <v>14</v>
      </c>
      <c r="H30" s="78" t="str">
        <f>IF(B2&lt;&gt;"",IFERROR(((B7*E31)-E13)/B17,""),"")</f>
        <v/>
      </c>
    </row>
    <row r="31" spans="1:8" ht="17" x14ac:dyDescent="0.2">
      <c r="A31" s="2"/>
      <c r="D31" s="16" t="s">
        <v>14</v>
      </c>
      <c r="E31" s="73" t="e">
        <f>E29/B7</f>
        <v>#DIV/0!</v>
      </c>
      <c r="G31" s="76" t="s">
        <v>16</v>
      </c>
      <c r="H31" s="77" t="str">
        <f>IF(B2&lt;&gt;"",IFERROR(((B9*E34)-E13)/B17,""),"")</f>
        <v/>
      </c>
    </row>
    <row r="32" spans="1:8" ht="17" x14ac:dyDescent="0.2">
      <c r="A32" s="1"/>
      <c r="D32" s="16" t="s">
        <v>94</v>
      </c>
      <c r="E32" s="73" t="e">
        <f>E28/B15</f>
        <v>#DIV/0!</v>
      </c>
    </row>
    <row r="33" spans="1:8" ht="17" x14ac:dyDescent="0.2">
      <c r="D33" s="16" t="s">
        <v>15</v>
      </c>
      <c r="E33" s="73" t="e">
        <f>E29/H20</f>
        <v>#DIV/0!</v>
      </c>
    </row>
    <row r="34" spans="1:8" ht="17" x14ac:dyDescent="0.2">
      <c r="D34" s="24" t="s">
        <v>16</v>
      </c>
      <c r="E34" s="74" t="e">
        <f>E29/B9</f>
        <v>#DIV/0!</v>
      </c>
    </row>
    <row r="35" spans="1:8" ht="17" customHeight="1" x14ac:dyDescent="0.2">
      <c r="A35" s="86" t="s">
        <v>8</v>
      </c>
      <c r="B35" s="87"/>
    </row>
    <row r="36" spans="1:8" x14ac:dyDescent="0.2">
      <c r="A36" s="67"/>
      <c r="B36" s="68"/>
    </row>
    <row r="37" spans="1:8" ht="17" x14ac:dyDescent="0.2">
      <c r="A37" s="16" t="s">
        <v>88</v>
      </c>
      <c r="B37" s="69" t="str">
        <f>IFERROR(B9*(1-IFERROR((ABS(B14)/B13),"")),"")</f>
        <v/>
      </c>
      <c r="E37" s="3"/>
      <c r="F37" s="3"/>
      <c r="H37" s="3"/>
    </row>
    <row r="38" spans="1:8" ht="17" x14ac:dyDescent="0.2">
      <c r="A38" s="16" t="s">
        <v>89</v>
      </c>
      <c r="B38" s="69">
        <f>SUM(E8:E12)-E7</f>
        <v>0</v>
      </c>
      <c r="E38" s="3"/>
      <c r="F38" s="3"/>
      <c r="H38" s="3"/>
    </row>
    <row r="39" spans="1:8" ht="17" x14ac:dyDescent="0.2">
      <c r="A39" s="16" t="s">
        <v>91</v>
      </c>
      <c r="B39" s="69">
        <f>H12-H14</f>
        <v>0</v>
      </c>
      <c r="E39" s="3"/>
      <c r="F39" s="3"/>
      <c r="H39" s="3"/>
    </row>
    <row r="40" spans="1:8" ht="17" x14ac:dyDescent="0.2">
      <c r="A40" s="17" t="s">
        <v>92</v>
      </c>
      <c r="B40" s="70">
        <f>IFERROR(VLOOKUP("Cash Acquisitions*",Datos!$A:$B,COLUMN(B1),FALSE),"0")</f>
        <v>0</v>
      </c>
    </row>
    <row r="41" spans="1:8" ht="17" x14ac:dyDescent="0.2">
      <c r="A41" s="16" t="s">
        <v>90</v>
      </c>
      <c r="B41" s="69">
        <f>ABS(SUM(B39:B40))</f>
        <v>0</v>
      </c>
    </row>
    <row r="42" spans="1:8" x14ac:dyDescent="0.2">
      <c r="A42" s="67"/>
      <c r="B42" s="68"/>
    </row>
    <row r="43" spans="1:8" ht="17" x14ac:dyDescent="0.2">
      <c r="A43" s="16" t="s">
        <v>11</v>
      </c>
      <c r="B43" s="23" t="e">
        <f>B15/E12</f>
        <v>#DIV/0!</v>
      </c>
    </row>
    <row r="44" spans="1:8" ht="17" x14ac:dyDescent="0.2">
      <c r="A44" s="16" t="s">
        <v>9</v>
      </c>
      <c r="B44" s="23" t="e">
        <f>B37/B38</f>
        <v>#VALUE!</v>
      </c>
    </row>
    <row r="45" spans="1:8" ht="17" x14ac:dyDescent="0.2">
      <c r="A45" s="71" t="s">
        <v>10</v>
      </c>
      <c r="B45" s="25" t="str">
        <f>IF(H20&gt;0,IFERROR(B41/H20,""),"")</f>
        <v/>
      </c>
    </row>
  </sheetData>
  <mergeCells count="7">
    <mergeCell ref="A4:B4"/>
    <mergeCell ref="D4:E4"/>
    <mergeCell ref="G4:H4"/>
    <mergeCell ref="A26:B26"/>
    <mergeCell ref="A35:B35"/>
    <mergeCell ref="D26:E26"/>
    <mergeCell ref="G26:H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CA3F-FA89-4440-B58D-A1B35191342D}">
  <dimension ref="A1:E36"/>
  <sheetViews>
    <sheetView zoomScale="125" workbookViewId="0">
      <selection activeCell="B1" sqref="B1:B36"/>
    </sheetView>
  </sheetViews>
  <sheetFormatPr baseColWidth="10" defaultRowHeight="16" x14ac:dyDescent="0.2"/>
  <cols>
    <col min="1" max="1" width="25.33203125" bestFit="1" customWidth="1"/>
    <col min="2" max="2" width="9.1640625" bestFit="1" customWidth="1"/>
    <col min="4" max="4" width="24.5" bestFit="1" customWidth="1"/>
  </cols>
  <sheetData>
    <row r="1" spans="1:5" ht="17" x14ac:dyDescent="0.2">
      <c r="A1" s="11" t="s">
        <v>17</v>
      </c>
      <c r="B1" s="4"/>
    </row>
    <row r="2" spans="1:5" ht="17" x14ac:dyDescent="0.2">
      <c r="A2" s="11" t="s">
        <v>98</v>
      </c>
      <c r="B2" s="4"/>
      <c r="E2" s="79"/>
    </row>
    <row r="3" spans="1:5" x14ac:dyDescent="0.2">
      <c r="A3" s="81" t="s">
        <v>99</v>
      </c>
      <c r="B3" s="4"/>
      <c r="D3" s="80"/>
      <c r="E3" s="79"/>
    </row>
    <row r="4" spans="1:5" ht="17" x14ac:dyDescent="0.2">
      <c r="A4" s="12" t="s">
        <v>18</v>
      </c>
      <c r="B4" s="5"/>
    </row>
    <row r="5" spans="1:5" ht="34" x14ac:dyDescent="0.2">
      <c r="A5" s="12" t="s">
        <v>19</v>
      </c>
      <c r="B5" s="5"/>
    </row>
    <row r="6" spans="1:5" ht="34" x14ac:dyDescent="0.2">
      <c r="A6" s="12" t="s">
        <v>20</v>
      </c>
      <c r="B6" s="6"/>
    </row>
    <row r="7" spans="1:5" ht="51" x14ac:dyDescent="0.2">
      <c r="A7" s="12" t="s">
        <v>21</v>
      </c>
      <c r="B7" s="5"/>
    </row>
    <row r="8" spans="1:5" ht="34" x14ac:dyDescent="0.2">
      <c r="A8" s="12" t="s">
        <v>22</v>
      </c>
      <c r="B8" s="5"/>
    </row>
    <row r="9" spans="1:5" ht="102" x14ac:dyDescent="0.2">
      <c r="A9" s="12" t="s">
        <v>23</v>
      </c>
      <c r="B9" s="5"/>
    </row>
    <row r="10" spans="1:5" ht="34" x14ac:dyDescent="0.2">
      <c r="A10" s="12" t="s">
        <v>24</v>
      </c>
      <c r="B10" s="6"/>
    </row>
    <row r="11" spans="1:5" ht="34" x14ac:dyDescent="0.2">
      <c r="A11" s="13" t="s">
        <v>25</v>
      </c>
      <c r="B11" s="7"/>
    </row>
    <row r="12" spans="1:5" ht="85" x14ac:dyDescent="0.2">
      <c r="A12" s="13" t="s">
        <v>26</v>
      </c>
      <c r="B12" s="7"/>
    </row>
    <row r="13" spans="1:5" ht="34" x14ac:dyDescent="0.2">
      <c r="A13" s="13" t="s">
        <v>27</v>
      </c>
      <c r="B13" s="7"/>
    </row>
    <row r="14" spans="1:5" ht="17" x14ac:dyDescent="0.2">
      <c r="A14" s="13" t="s">
        <v>28</v>
      </c>
      <c r="B14" s="8"/>
    </row>
    <row r="15" spans="1:5" ht="34" x14ac:dyDescent="0.2">
      <c r="A15" s="13" t="s">
        <v>29</v>
      </c>
      <c r="B15" s="7"/>
    </row>
    <row r="16" spans="1:5" ht="34" x14ac:dyDescent="0.2">
      <c r="A16" s="13" t="s">
        <v>30</v>
      </c>
      <c r="B16" s="8"/>
    </row>
    <row r="17" spans="1:2" ht="68" x14ac:dyDescent="0.2">
      <c r="A17" s="13" t="s">
        <v>31</v>
      </c>
      <c r="B17" s="8"/>
    </row>
    <row r="18" spans="1:2" ht="85" x14ac:dyDescent="0.2">
      <c r="A18" s="13" t="s">
        <v>32</v>
      </c>
      <c r="B18" s="7"/>
    </row>
    <row r="19" spans="1:2" ht="17" x14ac:dyDescent="0.2">
      <c r="A19" s="13" t="s">
        <v>33</v>
      </c>
      <c r="B19" s="7"/>
    </row>
    <row r="20" spans="1:2" ht="17" x14ac:dyDescent="0.2">
      <c r="A20" s="13" t="s">
        <v>34</v>
      </c>
      <c r="B20" s="7"/>
    </row>
    <row r="21" spans="1:2" ht="17" x14ac:dyDescent="0.2">
      <c r="A21" s="13" t="s">
        <v>35</v>
      </c>
      <c r="B21" s="7"/>
    </row>
    <row r="22" spans="1:2" ht="17" x14ac:dyDescent="0.2">
      <c r="A22" s="13" t="s">
        <v>36</v>
      </c>
      <c r="B22" s="7"/>
    </row>
    <row r="23" spans="1:2" ht="34" x14ac:dyDescent="0.2">
      <c r="A23" s="13" t="s">
        <v>37</v>
      </c>
      <c r="B23" s="8"/>
    </row>
    <row r="24" spans="1:2" ht="17" x14ac:dyDescent="0.2">
      <c r="A24" s="13" t="s">
        <v>38</v>
      </c>
      <c r="B24" s="8"/>
    </row>
    <row r="25" spans="1:2" ht="34" x14ac:dyDescent="0.2">
      <c r="A25" s="13" t="s">
        <v>39</v>
      </c>
      <c r="B25" s="8"/>
    </row>
    <row r="26" spans="1:2" ht="17" x14ac:dyDescent="0.2">
      <c r="A26" s="14" t="s">
        <v>40</v>
      </c>
      <c r="B26" s="9"/>
    </row>
    <row r="27" spans="1:2" ht="34" x14ac:dyDescent="0.2">
      <c r="A27" s="14" t="s">
        <v>41</v>
      </c>
      <c r="B27" s="10"/>
    </row>
    <row r="28" spans="1:2" ht="17" x14ac:dyDescent="0.2">
      <c r="A28" s="14" t="s">
        <v>42</v>
      </c>
      <c r="B28" s="9"/>
    </row>
    <row r="29" spans="1:2" ht="34" x14ac:dyDescent="0.2">
      <c r="A29" s="14" t="s">
        <v>43</v>
      </c>
      <c r="B29" s="10"/>
    </row>
    <row r="30" spans="1:2" ht="17" x14ac:dyDescent="0.2">
      <c r="A30" s="14" t="s">
        <v>44</v>
      </c>
      <c r="B30" s="9"/>
    </row>
    <row r="31" spans="1:2" ht="34" x14ac:dyDescent="0.2">
      <c r="A31" s="14" t="s">
        <v>45</v>
      </c>
      <c r="B31" s="10"/>
    </row>
    <row r="32" spans="1:2" ht="17" x14ac:dyDescent="0.2">
      <c r="A32" s="14" t="s">
        <v>46</v>
      </c>
      <c r="B32" s="9"/>
    </row>
    <row r="33" spans="1:2" ht="17" x14ac:dyDescent="0.2">
      <c r="A33" s="14" t="s">
        <v>47</v>
      </c>
      <c r="B33" s="9"/>
    </row>
    <row r="34" spans="1:2" ht="34" x14ac:dyDescent="0.2">
      <c r="A34" s="14" t="s">
        <v>48</v>
      </c>
      <c r="B34" s="9"/>
    </row>
    <row r="35" spans="1:2" ht="34" x14ac:dyDescent="0.2">
      <c r="A35" s="14" t="s">
        <v>49</v>
      </c>
      <c r="B35" s="9"/>
    </row>
    <row r="36" spans="1:2" ht="17" x14ac:dyDescent="0.2">
      <c r="A36" s="14" t="s">
        <v>50</v>
      </c>
      <c r="B36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Principales Metricas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Viacheslav Pustovit</dc:creator>
  <cp:lastModifiedBy>Viacheslav Pustovit</cp:lastModifiedBy>
  <dcterms:created xsi:type="dcterms:W3CDTF">2026-01-21T20:07:00Z</dcterms:created>
  <dcterms:modified xsi:type="dcterms:W3CDTF">2026-01-31T12:50:26Z</dcterms:modified>
</cp:coreProperties>
</file>